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 &amp; Diretrizes" sheetId="1" state="visible" r:id="rId1"/>
    <sheet xmlns:r="http://schemas.openxmlformats.org/officeDocument/2006/relationships" name="Matriz &amp; Critérios" sheetId="2" state="visible" r:id="rId2"/>
    <sheet xmlns:r="http://schemas.openxmlformats.org/officeDocument/2006/relationships" name="Inventário de Riscos" sheetId="3" state="visible" r:id="rId3"/>
    <sheet xmlns:r="http://schemas.openxmlformats.org/officeDocument/2006/relationships" name="Plano de Ação (5W2H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#,##0.0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sz val="10"/>
    </font>
    <font>
      <name val="Calibri"/>
      <b val="1"/>
      <sz val="11"/>
    </font>
    <font>
      <name val="Calibri"/>
      <b val="1"/>
      <color rgb="00FFFFFF"/>
      <sz val="12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  <xf numFmtId="0" fontId="5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2" borderId="1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6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79" customWidth="1" min="2" max="2"/>
    <col width="80" customWidth="1" min="3" max="3"/>
    <col width="58" customWidth="1" min="4" max="4"/>
  </cols>
  <sheetData>
    <row r="1"/>
    <row r="2">
      <c r="B2" s="1" t="inlineStr">
        <is>
          <t>GESTÃO DE RISCOS OCUPACIONAIS &amp; PLANOS DE AÇÃO (NR-1)</t>
        </is>
      </c>
    </row>
    <row r="3">
      <c r="B3" s="2" t="inlineStr">
        <is>
          <t>Ferramenta Integrada de Inventário de Riscos (AEP/ARP) e Planos de Ação 5W2H</t>
        </is>
      </c>
    </row>
    <row r="4"/>
    <row r="5">
      <c r="B5" s="3" t="inlineStr">
        <is>
          <t>1. ESTRUTURA DO WORKBOOK (TOC)</t>
        </is>
      </c>
    </row>
    <row r="6">
      <c r="B6" s="4" t="inlineStr">
        <is>
          <t>Aba</t>
        </is>
      </c>
      <c r="C6" s="4" t="inlineStr">
        <is>
          <t>Descrição do Conteúdo</t>
        </is>
      </c>
      <c r="D6" s="4" t="inlineStr">
        <is>
          <t>Navegação</t>
        </is>
      </c>
    </row>
    <row r="7">
      <c r="B7" s="5" t="inlineStr">
        <is>
          <t>Início &amp; Diretrizes</t>
        </is>
      </c>
      <c r="C7" s="6" t="inlineStr">
        <is>
          <t>Aba atual contendo o Table of Contents, legendas de cores e conceitos iniciais da NR-1.</t>
        </is>
      </c>
      <c r="D7" s="7">
        <f>HYPERLINK("#Início &amp; Diretrizes!A1", "Ir para aba →")</f>
        <v/>
      </c>
    </row>
    <row r="8">
      <c r="B8" s="5" t="inlineStr">
        <is>
          <t>Matriz &amp; Critérios</t>
        </is>
      </c>
      <c r="C8" s="6" t="inlineStr">
        <is>
          <t>Definições e escalas de probabilidade e severidade (AIHA/Fundacentro) e matriz 5x5.</t>
        </is>
      </c>
      <c r="D8" s="7">
        <f>HYPERLINK("#Matriz &amp; Critérios!A1", "Ir para aba →")</f>
        <v/>
      </c>
    </row>
    <row r="9">
      <c r="B9" s="5" t="inlineStr">
        <is>
          <t>Inventário de Riscos</t>
        </is>
      </c>
      <c r="C9" s="6" t="inlineStr">
        <is>
          <t>Identificação de perigos ergonômicos, psicossociais, físicos, químicos e biológicos por GHE/Setor.</t>
        </is>
      </c>
      <c r="D9" s="7">
        <f>HYPERLINK("#Inventário de Riscos!A1", "Ir para aba →")</f>
        <v/>
      </c>
    </row>
    <row r="10">
      <c r="B10" s="5" t="inlineStr">
        <is>
          <t>Plano de Ação (5W2H)</t>
        </is>
      </c>
      <c r="C10" s="6" t="inlineStr">
        <is>
          <t>Planejador de medidas preventivas e organizacionais estruturado com metas, prazos e responsáveis nominados.</t>
        </is>
      </c>
      <c r="D10" s="7">
        <f>HYPERLINK("#Plano de Ação (5W2H)!A1", "Ir para aba →")</f>
        <v/>
      </c>
    </row>
    <row r="11"/>
    <row r="12"/>
    <row r="13">
      <c r="B13" s="3" t="inlineStr">
        <is>
          <t>2. LEGENDA E CONVENÇÕES DE DIGITAÇÃO</t>
        </is>
      </c>
    </row>
    <row r="14">
      <c r="B14" s="4" t="inlineStr">
        <is>
          <t>Representação</t>
        </is>
      </c>
      <c r="C14" s="4" t="inlineStr">
        <is>
          <t>Instruções de Uso</t>
        </is>
      </c>
    </row>
    <row r="15">
      <c r="B15" s="8" t="inlineStr">
        <is>
          <t>Célula de Entrada (Input)</t>
        </is>
      </c>
      <c r="C15" s="6" t="inlineStr">
        <is>
          <t>Fundo azul claro indica dados que devem ser digitados manualmente pelo usuário.</t>
        </is>
      </c>
    </row>
    <row r="16">
      <c r="B16" s="9" t="inlineStr">
        <is>
          <t>Célula Calculada (Formula)</t>
        </is>
      </c>
      <c r="C16" s="6" t="inlineStr">
        <is>
          <t>Fundo verde claro indica cálculo automático por fórmulas. Não altere manualmente.</t>
        </is>
      </c>
    </row>
    <row r="17">
      <c r="B17" s="10" t="inlineStr">
        <is>
          <t>Placeholder / Exemplo</t>
        </is>
      </c>
      <c r="C17" s="6" t="inlineStr">
        <is>
          <t>Fundo amarelo claro e itálico indica dados de amostra. Substitua pelos dados reais da sua empresa.</t>
        </is>
      </c>
    </row>
    <row r="18">
      <c r="B18" s="11" t="inlineStr">
        <is>
          <t>Cabeçalho / Seções</t>
        </is>
      </c>
      <c r="C18" s="6" t="inlineStr">
        <is>
          <t>Fundo azul escuro indica cabeçalhos de tabelas e divisões de seções do GRO/PGR.</t>
        </is>
      </c>
    </row>
    <row r="19"/>
    <row r="20"/>
    <row r="21">
      <c r="B21" s="3" t="inlineStr">
        <is>
          <t>Nota Legal:</t>
        </is>
      </c>
      <c r="C21" s="2" t="inlineStr">
        <is>
          <t>Este workbook está em conformidade com as diretrizes do capítulo 1.5 da NR-1 (Portaria MTE nº 1.419/2024), integrando a AEP (Ergonomia - NR-17) e a ARP (Riscos Psicossociais) de forma sistemática no ciclo PDCA do GRO.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  <col width="17" customWidth="1" min="3" max="3"/>
    <col width="65" customWidth="1" min="4" max="4"/>
    <col width="22" customWidth="1" min="5" max="5"/>
    <col width="12" customWidth="1" min="6" max="6"/>
    <col width="14" customWidth="1" min="7" max="7"/>
  </cols>
  <sheetData>
    <row r="1"/>
    <row r="2">
      <c r="B2" s="1" t="inlineStr">
        <is>
          <t>CRITÉRIOS DE AVALIAÇÃO E CLASSIFICAÇÃO DE RISCOS (AIHA / FUNDACENTRO)</t>
        </is>
      </c>
    </row>
    <row r="3"/>
    <row r="4">
      <c r="B4" s="3" t="inlineStr">
        <is>
          <t>1. Gradação de Severidade</t>
        </is>
      </c>
    </row>
    <row r="5">
      <c r="B5" s="12" t="inlineStr">
        <is>
          <t>Nível</t>
        </is>
      </c>
      <c r="C5" s="12" t="inlineStr">
        <is>
          <t>Categoria</t>
        </is>
      </c>
      <c r="D5" s="12" t="inlineStr">
        <is>
          <t>Definição Técnica (Magnitude das Consequências)</t>
        </is>
      </c>
    </row>
    <row r="6">
      <c r="B6" s="13" t="n">
        <v>1</v>
      </c>
      <c r="C6" s="6" t="inlineStr">
        <is>
          <t>Leve</t>
        </is>
      </c>
      <c r="D6" s="6" t="inlineStr">
        <is>
          <t>Lesão leve sem necessidade de atenção médica, incômodos ou mal-estar passageiro.</t>
        </is>
      </c>
    </row>
    <row r="7">
      <c r="B7" s="13" t="n">
        <v>2</v>
      </c>
      <c r="C7" s="6" t="inlineStr">
        <is>
          <t>Baixa</t>
        </is>
      </c>
      <c r="D7" s="6" t="inlineStr">
        <is>
          <t>Lesão ou doenças sérias, porém reversíveis (ex: distensões leves, estresse pontual).</t>
        </is>
      </c>
    </row>
    <row r="8">
      <c r="B8" s="13" t="n">
        <v>3</v>
      </c>
      <c r="C8" s="6" t="inlineStr">
        <is>
          <t>Moderada</t>
        </is>
      </c>
      <c r="D8" s="6" t="inlineStr">
        <is>
          <t>Lesão ou doenças críticas irreversíveis que podem limitar a capacidade funcional.</t>
        </is>
      </c>
    </row>
    <row r="9">
      <c r="B9" s="13" t="n">
        <v>4</v>
      </c>
      <c r="C9" s="6" t="inlineStr">
        <is>
          <t>Alta</t>
        </is>
      </c>
      <c r="D9" s="6" t="inlineStr">
        <is>
          <t>Lesão ou doença grave incapacitante, invalidez ou morte de um trabalhador.</t>
        </is>
      </c>
    </row>
    <row r="10">
      <c r="B10" s="13" t="n">
        <v>5</v>
      </c>
      <c r="C10" s="6" t="inlineStr">
        <is>
          <t>Extrema</t>
        </is>
      </c>
      <c r="D10" s="6" t="inlineStr">
        <is>
          <t>Mortes ou incapacidades múltiplas ocorridas simultaneamente no mesmo cenário (catástrofe).</t>
        </is>
      </c>
    </row>
    <row r="11"/>
    <row r="12">
      <c r="B12" s="3" t="inlineStr">
        <is>
          <t>2. Gradação de Probabilidade (Qualitativa para Riscos Ergonômicos e Psicossociais)</t>
        </is>
      </c>
    </row>
    <row r="13">
      <c r="B13" s="12" t="inlineStr">
        <is>
          <t>Nível</t>
        </is>
      </c>
      <c r="C13" s="12" t="inlineStr">
        <is>
          <t>Categoria</t>
        </is>
      </c>
      <c r="D13" s="12" t="inlineStr">
        <is>
          <t>Critério de Controle Existente / Exposição</t>
        </is>
      </c>
    </row>
    <row r="14">
      <c r="B14" s="13" t="n">
        <v>1</v>
      </c>
      <c r="C14" s="6" t="inlineStr">
        <is>
          <t>Rara</t>
        </is>
      </c>
      <c r="D14" s="6" t="inlineStr">
        <is>
          <t>Controle excelente. Representa a melhor tecnologia ou prática de controle disponível. Exposição quase inexistente.</t>
        </is>
      </c>
    </row>
    <row r="15">
      <c r="B15" s="13" t="n">
        <v>2</v>
      </c>
      <c r="C15" s="6" t="inlineStr">
        <is>
          <t>Pouco Provável</t>
        </is>
      </c>
      <c r="D15" s="6" t="inlineStr">
        <is>
          <t>Controle em conformidade legal. Seguindo normas, mantido e auditado adequadamente.</t>
        </is>
      </c>
    </row>
    <row r="16">
      <c r="B16" s="13" t="n">
        <v>3</v>
      </c>
      <c r="C16" s="6" t="inlineStr">
        <is>
          <t>Possível</t>
        </is>
      </c>
      <c r="D16" s="6" t="inlineStr">
        <is>
          <t>Controle com pequenas deficiências. Há controle adequado, mas com desvios na manutenção ou operação.</t>
        </is>
      </c>
    </row>
    <row r="17">
      <c r="B17" s="13" t="n">
        <v>4</v>
      </c>
      <c r="C17" s="6" t="inlineStr">
        <is>
          <t>Provável</t>
        </is>
      </c>
      <c r="D17" s="6" t="inlineStr">
        <is>
          <t>Controle deficiente. Incompleto, ineficaz ou não implementado de forma sistemática.</t>
        </is>
      </c>
    </row>
    <row r="18">
      <c r="B18" s="13" t="n">
        <v>5</v>
      </c>
      <c r="C18" s="6" t="inlineStr">
        <is>
          <t>Muito Provável</t>
        </is>
      </c>
      <c r="D18" s="6" t="inlineStr">
        <is>
          <t>Controle inexistente ou totalmente inadequado. Desrespeito explícito aos requisitos legais das NRs.</t>
        </is>
      </c>
    </row>
    <row r="19"/>
    <row r="20">
      <c r="B20" s="3" t="inlineStr">
        <is>
          <t>3. Matriz de Combinação de Risco (Probabilidade x Severidade = NRO)</t>
        </is>
      </c>
    </row>
    <row r="21"/>
    <row r="22">
      <c r="C22" s="14" t="inlineStr">
        <is>
          <t>SEVERIDADE</t>
        </is>
      </c>
    </row>
    <row r="23">
      <c r="C23" s="15" t="inlineStr">
        <is>
          <t>Leve (1)</t>
        </is>
      </c>
      <c r="D23" s="15" t="inlineStr">
        <is>
          <t>Baixa (2)</t>
        </is>
      </c>
      <c r="E23" s="15" t="inlineStr">
        <is>
          <t>Moderada (3)</t>
        </is>
      </c>
      <c r="F23" s="15" t="inlineStr">
        <is>
          <t>Alta (4)</t>
        </is>
      </c>
      <c r="G23" s="15" t="inlineStr">
        <is>
          <t>Extrema (5)</t>
        </is>
      </c>
    </row>
    <row r="24">
      <c r="B24" s="15" t="inlineStr">
        <is>
          <t>Muito Provável (5)</t>
        </is>
      </c>
      <c r="C24" s="10" t="n">
        <v>5</v>
      </c>
      <c r="D24" s="16" t="n">
        <v>10</v>
      </c>
      <c r="E24" s="16" t="n">
        <v>15</v>
      </c>
      <c r="F24" s="17" t="n">
        <v>20</v>
      </c>
      <c r="G24" s="17" t="n">
        <v>25</v>
      </c>
    </row>
    <row r="25">
      <c r="B25" s="18" t="inlineStr">
        <is>
          <t>Provável (4)</t>
        </is>
      </c>
      <c r="C25" s="10" t="n">
        <v>4</v>
      </c>
      <c r="D25" s="10" t="n">
        <v>8</v>
      </c>
      <c r="E25" s="16" t="n">
        <v>12</v>
      </c>
      <c r="F25" s="17" t="n">
        <v>16</v>
      </c>
      <c r="G25" s="17" t="n">
        <v>20</v>
      </c>
    </row>
    <row r="26">
      <c r="B26" s="18" t="inlineStr">
        <is>
          <t>Possível (3)</t>
        </is>
      </c>
      <c r="C26" s="9" t="n">
        <v>3</v>
      </c>
      <c r="D26" s="10" t="n">
        <v>6</v>
      </c>
      <c r="E26" s="16" t="n">
        <v>9</v>
      </c>
      <c r="F26" s="16" t="n">
        <v>12</v>
      </c>
      <c r="G26" s="16" t="n">
        <v>15</v>
      </c>
    </row>
    <row r="27">
      <c r="B27" s="18" t="inlineStr">
        <is>
          <t>Pouco Provável (2)</t>
        </is>
      </c>
      <c r="C27" s="9" t="n">
        <v>2</v>
      </c>
      <c r="D27" s="10" t="n">
        <v>4</v>
      </c>
      <c r="E27" s="10" t="n">
        <v>6</v>
      </c>
      <c r="F27" s="10" t="n">
        <v>8</v>
      </c>
      <c r="G27" s="16" t="n">
        <v>10</v>
      </c>
    </row>
    <row r="28">
      <c r="B28" s="18" t="inlineStr">
        <is>
          <t>Rara (1)</t>
        </is>
      </c>
      <c r="C28" s="9" t="n">
        <v>1</v>
      </c>
      <c r="D28" s="9" t="n">
        <v>2</v>
      </c>
      <c r="E28" s="9" t="n">
        <v>3</v>
      </c>
      <c r="F28" s="10" t="n">
        <v>4</v>
      </c>
      <c r="G28" s="10" t="n">
        <v>5</v>
      </c>
    </row>
    <row r="29"/>
    <row r="30">
      <c r="B30" s="3" t="inlineStr">
        <is>
          <t>4. Classificação dos Níveis de Risco e Ações Obrigatórias</t>
        </is>
      </c>
    </row>
    <row r="31">
      <c r="B31" s="12" t="inlineStr">
        <is>
          <t>Nível de Risco</t>
        </is>
      </c>
      <c r="C31" s="12" t="inlineStr">
        <is>
          <t>Faixa de NRO</t>
        </is>
      </c>
      <c r="D31" s="12" t="inlineStr">
        <is>
          <t>Ação de Controle Exigida</t>
        </is>
      </c>
      <c r="E31" s="12" t="inlineStr">
        <is>
          <t>Prazo Recomendado</t>
        </is>
      </c>
    </row>
    <row r="32">
      <c r="B32" s="19" t="inlineStr">
        <is>
          <t>Trivial / Baixo</t>
        </is>
      </c>
      <c r="C32" s="6" t="inlineStr">
        <is>
          <t>1 a 3</t>
        </is>
      </c>
      <c r="D32" s="6" t="inlineStr">
        <is>
          <t>Risco aceitável. Manter monitoramento contínuo para garantir que os controles atuais permaneçam eficazes ao longo do tempo.</t>
        </is>
      </c>
      <c r="E32" s="6" t="inlineStr">
        <is>
          <t>Monitoramento anual</t>
        </is>
      </c>
    </row>
    <row r="33">
      <c r="B33" s="20" t="inlineStr">
        <is>
          <t>Tolerável / Médio</t>
        </is>
      </c>
      <c r="C33" s="6" t="inlineStr">
        <is>
          <t>4 a 8</t>
        </is>
      </c>
      <c r="D33" s="6" t="inlineStr">
        <is>
          <t>Adotar medidas adicionais se viável. Realizar reavaliações planejadas. Monitorar eficácia dos controles.</t>
        </is>
      </c>
      <c r="E33" s="6" t="inlineStr">
        <is>
          <t>Menor que 9 meses</t>
        </is>
      </c>
    </row>
    <row r="34">
      <c r="B34" s="21" t="inlineStr">
        <is>
          <t>Substancial / Alto</t>
        </is>
      </c>
      <c r="C34" s="6" t="inlineStr">
        <is>
          <t>9 a 15</t>
        </is>
      </c>
      <c r="D34" s="6" t="inlineStr">
        <is>
          <t>O trabalho não deve ser iniciado ou continuado até que o risco seja reduzido por ações urgentes de engenharia ou organizacionais.</t>
        </is>
      </c>
      <c r="E34" s="6" t="inlineStr">
        <is>
          <t>Menor que 3 meses</t>
        </is>
      </c>
    </row>
    <row r="35">
      <c r="B35" s="22" t="inlineStr">
        <is>
          <t>Intolerável / Crítico</t>
        </is>
      </c>
      <c r="C35" s="6" t="inlineStr">
        <is>
          <t>16 a 25</t>
        </is>
      </c>
      <c r="D35" s="6" t="inlineStr">
        <is>
          <t>Paralisação imediata da atividade. Intervenção corretiva urgente nas causas raízes (organizacionais). Se inviável reduzir, proibição do processo.</t>
        </is>
      </c>
      <c r="E35" s="6" t="inlineStr">
        <is>
          <t>Imediato</t>
        </is>
      </c>
    </row>
  </sheetData>
  <mergeCells count="1">
    <mergeCell ref="C22:G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7" customWidth="1" min="1" max="1"/>
    <col width="26" customWidth="1" min="2" max="2"/>
    <col width="27" customWidth="1" min="3" max="3"/>
    <col width="35" customWidth="1" min="4" max="4"/>
    <col width="20" customWidth="1" min="5" max="5"/>
    <col width="29" customWidth="1" min="6" max="6"/>
    <col width="30" customWidth="1" min="7" max="7"/>
    <col width="30" customWidth="1" min="8" max="8"/>
    <col width="30" customWidth="1" min="9" max="9"/>
    <col width="30" customWidth="1" min="10" max="10"/>
    <col width="17" customWidth="1" min="11" max="11"/>
    <col width="20" customWidth="1" min="12" max="12"/>
    <col width="14" customWidth="1" min="13" max="13"/>
    <col width="30" customWidth="1" min="14" max="14"/>
  </cols>
  <sheetData>
    <row r="1">
      <c r="A1" s="1" t="inlineStr">
        <is>
          <t>PROGRAMA DE GERENCIAMENTO DE RISCOS (PGR) - INVENTÁRIO DE RISCOS OCUPACIONAIS</t>
        </is>
      </c>
    </row>
    <row r="2">
      <c r="A2" s="2" t="inlineStr">
        <is>
          <t>Foco em Riscos Ergonômicos, Psicossociais e Fatores Organizacionais integrados com riscos de Acidente, Físicos, Químicos e Biológicos.</t>
        </is>
      </c>
    </row>
    <row r="3"/>
    <row r="4">
      <c r="A4" s="23" t="inlineStr">
        <is>
          <t>Cód. Risco</t>
        </is>
      </c>
      <c r="B4" s="23" t="inlineStr">
        <is>
          <t>Setor / Área</t>
        </is>
      </c>
      <c r="C4" s="23" t="inlineStr">
        <is>
          <t>Grupo de Exposição (GHE)</t>
        </is>
      </c>
      <c r="D4" s="23" t="inlineStr">
        <is>
          <t>Cargos Abrangidos</t>
        </is>
      </c>
      <c r="E4" s="23" t="inlineStr">
        <is>
          <t>Nº Trab. Expostos</t>
        </is>
      </c>
      <c r="F4" s="23" t="inlineStr">
        <is>
          <t>Tipo de Perigo</t>
        </is>
      </c>
      <c r="G4" s="23" t="inlineStr">
        <is>
          <t>Descrição do Perigo / Fator de Risco</t>
        </is>
      </c>
      <c r="H4" s="23" t="inlineStr">
        <is>
          <t>Fonte Geradora / Causa Raiz</t>
        </is>
      </c>
      <c r="I4" s="23" t="inlineStr">
        <is>
          <t>Danos à Saúde / Possíveis Lesões</t>
        </is>
      </c>
      <c r="J4" s="23" t="inlineStr">
        <is>
          <t>Controles Existentes / Eficácia</t>
        </is>
      </c>
      <c r="K4" s="23" t="inlineStr">
        <is>
          <t>Severidade (S)</t>
        </is>
      </c>
      <c r="L4" s="23" t="inlineStr">
        <is>
          <t>Probabilidade (P)</t>
        </is>
      </c>
      <c r="M4" s="23" t="inlineStr">
        <is>
          <t>NRO (S x P)</t>
        </is>
      </c>
      <c r="N4" s="23" t="inlineStr">
        <is>
          <t>Classificação de Prioridade</t>
        </is>
      </c>
    </row>
    <row r="5">
      <c r="A5" s="24" t="inlineStr">
        <is>
          <t>R-01</t>
        </is>
      </c>
      <c r="B5" s="25" t="inlineStr">
        <is>
          <t>Secretaria de Saúde</t>
        </is>
      </c>
      <c r="C5" s="25" t="inlineStr">
        <is>
          <t>GHE-01 Saúde Ocup.</t>
        </is>
      </c>
      <c r="D5" s="25" t="inlineStr">
        <is>
          <t>Agente Comunitário de Saúde</t>
        </is>
      </c>
      <c r="E5" s="24" t="n">
        <v>8</v>
      </c>
      <c r="F5" s="25" t="inlineStr">
        <is>
          <t>Biológico</t>
        </is>
      </c>
      <c r="G5" s="25" t="inlineStr">
        <is>
          <t>Exposição a patógenos biológicos em visitas domiciliares</t>
        </is>
      </c>
      <c r="H5" s="25" t="inlineStr">
        <is>
          <t>Visita a domicílios e contato direto com pessoas infectadas</t>
        </is>
      </c>
      <c r="I5" s="25" t="inlineStr">
        <is>
          <t>Gastroenterites, verminoses, viroses e infecções diversas</t>
        </is>
      </c>
      <c r="J5" s="25" t="inlineStr">
        <is>
          <t>Uso de jaleco, calçado fechado e máscara cirúrgica</t>
        </is>
      </c>
      <c r="K5" s="26" t="n">
        <v>1</v>
      </c>
      <c r="L5" s="26" t="n">
        <v>2</v>
      </c>
      <c r="M5" s="27">
        <f>K5*L5</f>
        <v/>
      </c>
      <c r="N5" s="27" t="inlineStr">
        <is>
          <t>Trivial</t>
        </is>
      </c>
    </row>
    <row r="6">
      <c r="A6" s="24" t="inlineStr">
        <is>
          <t>R-02</t>
        </is>
      </c>
      <c r="B6" s="25" t="inlineStr">
        <is>
          <t>Secretaria de Saúde</t>
        </is>
      </c>
      <c r="C6" s="25" t="inlineStr">
        <is>
          <t>GHE-02 Odonto</t>
        </is>
      </c>
      <c r="D6" s="25" t="inlineStr">
        <is>
          <t>Auxiliar de Consultório Dentário</t>
        </is>
      </c>
      <c r="E6" s="24" t="n">
        <v>2</v>
      </c>
      <c r="F6" s="25" t="inlineStr">
        <is>
          <t>Ergonômico</t>
        </is>
      </c>
      <c r="G6" s="25" t="inlineStr">
        <is>
          <t>Posturas incômodas, desconfortáveis e estáticas prolongadas</t>
        </is>
      </c>
      <c r="H6" s="25" t="inlineStr">
        <is>
          <t>Desenvolvimento de atividades clínicas em posições forçadas de atendimento</t>
        </is>
      </c>
      <c r="I6" s="25" t="inlineStr">
        <is>
          <t>Lombalgias, lesão na coluna e fadiga osteomuscular</t>
        </is>
      </c>
      <c r="J6" s="25" t="inlineStr">
        <is>
          <t>Pausas planejadas e fornecimento de mocho ergonômico</t>
        </is>
      </c>
      <c r="K6" s="26" t="n">
        <v>1</v>
      </c>
      <c r="L6" s="26" t="n">
        <v>2</v>
      </c>
      <c r="M6" s="27">
        <f>K6*L5</f>
        <v/>
      </c>
      <c r="N6" s="27" t="inlineStr">
        <is>
          <t>Trivial</t>
        </is>
      </c>
    </row>
    <row r="7">
      <c r="A7" s="24" t="inlineStr">
        <is>
          <t>R-03</t>
        </is>
      </c>
      <c r="B7" s="25" t="inlineStr">
        <is>
          <t>Secretaria de Obras</t>
        </is>
      </c>
      <c r="C7" s="25" t="inlineStr">
        <is>
          <t>GHE-03 Operação</t>
        </is>
      </c>
      <c r="D7" s="25" t="inlineStr">
        <is>
          <t>Auxiliar de Mecânico</t>
        </is>
      </c>
      <c r="E7" s="24" t="n">
        <v>1</v>
      </c>
      <c r="F7" s="25" t="inlineStr">
        <is>
          <t>Acidente / Mecânico</t>
        </is>
      </c>
      <c r="G7" s="25" t="inlineStr">
        <is>
          <t>Risco de lesões, esmagamento e queimaduras com ferramentas</t>
        </is>
      </c>
      <c r="H7" s="25" t="inlineStr">
        <is>
          <t>Manuseio de ferramentas manuais pesadas, peças móveis e maquinário de garagem</t>
        </is>
      </c>
      <c r="I7" s="25" t="inlineStr">
        <is>
          <t>Esmagamento, escoriações profundas e queimaduras por atrito</t>
        </is>
      </c>
      <c r="J7" s="25" t="inlineStr">
        <is>
          <t>Fornecimento de bota com biqueira de PVC, óculos e luvas de proteção</t>
        </is>
      </c>
      <c r="K7" s="26" t="n">
        <v>3</v>
      </c>
      <c r="L7" s="26" t="n">
        <v>3</v>
      </c>
      <c r="M7" s="27">
        <f>K7*L7</f>
        <v/>
      </c>
      <c r="N7" s="28" t="inlineStr">
        <is>
          <t>Médio</t>
        </is>
      </c>
    </row>
    <row r="8">
      <c r="A8" s="24" t="inlineStr">
        <is>
          <t>R-04</t>
        </is>
      </c>
      <c r="B8" s="25" t="inlineStr">
        <is>
          <t>Secretaria de Obras</t>
        </is>
      </c>
      <c r="C8" s="25" t="inlineStr">
        <is>
          <t>GHE-03 Operação</t>
        </is>
      </c>
      <c r="D8" s="25" t="inlineStr">
        <is>
          <t>Auxiliar de Mecânico</t>
        </is>
      </c>
      <c r="E8" s="24" t="n">
        <v>1</v>
      </c>
      <c r="F8" s="25" t="inlineStr">
        <is>
          <t>Físico</t>
        </is>
      </c>
      <c r="G8" s="25" t="inlineStr">
        <is>
          <t>Ruído contínuo e intermitente acima do nível de ação</t>
        </is>
      </c>
      <c r="H8" s="25" t="inlineStr">
        <is>
          <t>Uso de ferramentas pneumáticas, motores e solda na oficina</t>
        </is>
      </c>
      <c r="I8" s="25" t="inlineStr">
        <is>
          <t>Perda auditiva crônica, estresse, fadiga e taquicardia</t>
        </is>
      </c>
      <c r="J8" s="25" t="inlineStr">
        <is>
          <t>Uso de protetor auricular tipo plug com CA ativo</t>
        </is>
      </c>
      <c r="K8" s="26" t="n">
        <v>2</v>
      </c>
      <c r="L8" s="26" t="n">
        <v>2</v>
      </c>
      <c r="M8" s="27">
        <f>K8*L8</f>
        <v/>
      </c>
      <c r="N8" s="27" t="inlineStr">
        <is>
          <t>Trivial</t>
        </is>
      </c>
    </row>
    <row r="9">
      <c r="A9" s="24" t="inlineStr">
        <is>
          <t>R-05</t>
        </is>
      </c>
      <c r="B9" s="25" t="inlineStr">
        <is>
          <t>Secretaria de Obras</t>
        </is>
      </c>
      <c r="C9" s="25" t="inlineStr">
        <is>
          <t>GHE-03 Operação</t>
        </is>
      </c>
      <c r="D9" s="25" t="inlineStr">
        <is>
          <t>Auxiliar de Mecânico</t>
        </is>
      </c>
      <c r="E9" s="24" t="n">
        <v>1</v>
      </c>
      <c r="F9" s="25" t="inlineStr">
        <is>
          <t>Químico</t>
        </is>
      </c>
      <c r="G9" s="25" t="inlineStr">
        <is>
          <t>Exposição a vapores e derivados de hidrocarbonetos</t>
        </is>
      </c>
      <c r="H9" s="25" t="inlineStr">
        <is>
          <t>Limpeza de peças com solventes, contato com óleos lubrificantes e graxas</t>
        </is>
      </c>
      <c r="I9" s="25" t="inlineStr">
        <is>
          <t>Dermatites de contato, intoxicação por inalação e problemas respiratórios</t>
        </is>
      </c>
      <c r="J9" s="25" t="inlineStr">
        <is>
          <t>Uso de respirador semifacial PFF2 e luvas nitrílicas</t>
        </is>
      </c>
      <c r="K9" s="26" t="n">
        <v>3</v>
      </c>
      <c r="L9" s="26" t="n">
        <v>3</v>
      </c>
      <c r="M9" s="27">
        <f>K9*L9</f>
        <v/>
      </c>
      <c r="N9" s="28" t="inlineStr">
        <is>
          <t>Médio</t>
        </is>
      </c>
    </row>
    <row r="10">
      <c r="A10" s="24" t="inlineStr">
        <is>
          <t>R-06</t>
        </is>
      </c>
      <c r="B10" s="25" t="inlineStr">
        <is>
          <t>Secretaria de Urbanismo</t>
        </is>
      </c>
      <c r="C10" s="25" t="inlineStr">
        <is>
          <t>GHE-04 Elétrica</t>
        </is>
      </c>
      <c r="D10" s="25" t="inlineStr">
        <is>
          <t>Eletricista</t>
        </is>
      </c>
      <c r="E10" s="24" t="n">
        <v>3</v>
      </c>
      <c r="F10" s="25" t="inlineStr">
        <is>
          <t>Acidente / Mecânico</t>
        </is>
      </c>
      <c r="G10" s="25" t="inlineStr">
        <is>
          <t>Choque elétrico em redes de baixa e média tensão</t>
        </is>
      </c>
      <c r="H10" s="25" t="inlineStr">
        <is>
          <t>Atividades de manutenção em fiação energizada e iluminação pública</t>
        </is>
      </c>
      <c r="I10" s="25" t="inlineStr">
        <is>
          <t>Queimaduras gravíssimas, fibrilação ventricular, asfixia e morte</t>
        </is>
      </c>
      <c r="J10" s="25" t="inlineStr">
        <is>
          <t>Uso de luva isolante de borracha, uniforme antichama e ferramentas isoladas</t>
        </is>
      </c>
      <c r="K10" s="26" t="n">
        <v>4</v>
      </c>
      <c r="L10" s="26" t="n">
        <v>4</v>
      </c>
      <c r="M10" s="27">
        <f>K10*L10</f>
        <v/>
      </c>
      <c r="N10" s="29" t="inlineStr">
        <is>
          <t>Alto</t>
        </is>
      </c>
    </row>
    <row r="11">
      <c r="A11" s="24" t="inlineStr">
        <is>
          <t>R-07</t>
        </is>
      </c>
      <c r="B11" s="25" t="inlineStr">
        <is>
          <t>Secretaria de Urbanismo</t>
        </is>
      </c>
      <c r="C11" s="25" t="inlineStr">
        <is>
          <t>GHE-04 Elétrica</t>
        </is>
      </c>
      <c r="D11" s="25" t="inlineStr">
        <is>
          <t>Eletricista</t>
        </is>
      </c>
      <c r="E11" s="24" t="n">
        <v>3</v>
      </c>
      <c r="F11" s="25" t="inlineStr">
        <is>
          <t>Acidente / Mecânico</t>
        </is>
      </c>
      <c r="G11" s="25" t="inlineStr">
        <is>
          <t>Queda de altura no trabalho em postes e escadas</t>
        </is>
      </c>
      <c r="H11" s="25" t="inlineStr">
        <is>
          <t>Manutenção em altura na iluminação pública sem ancoragem</t>
        </is>
      </c>
      <c r="I11" s="25" t="inlineStr">
        <is>
          <t>Fraturas ósseas, traumatismo craniano, invalidez ou morte</t>
        </is>
      </c>
      <c r="J11" s="25" t="inlineStr">
        <is>
          <t>Uso de cinto paraquedista, talabarte duplo e linha de vida</t>
        </is>
      </c>
      <c r="K11" s="26" t="n">
        <v>3</v>
      </c>
      <c r="L11" s="26" t="n">
        <v>3</v>
      </c>
      <c r="M11" s="27">
        <f>K11*L11</f>
        <v/>
      </c>
      <c r="N11" s="28" t="inlineStr">
        <is>
          <t>Médio</t>
        </is>
      </c>
    </row>
    <row r="12">
      <c r="A12" s="24" t="inlineStr">
        <is>
          <t>R-08</t>
        </is>
      </c>
      <c r="B12" s="25" t="inlineStr">
        <is>
          <t>Administrativo Geral</t>
        </is>
      </c>
      <c r="C12" s="25" t="inlineStr">
        <is>
          <t>GHE-05 Admin</t>
        </is>
      </c>
      <c r="D12" s="25" t="inlineStr">
        <is>
          <t>Auxiliar de Administração</t>
        </is>
      </c>
      <c r="E12" s="24" t="n">
        <v>15</v>
      </c>
      <c r="F12" s="30" t="inlineStr">
        <is>
          <t>Psicossocial (Placeholder)</t>
        </is>
      </c>
      <c r="G12" s="25" t="inlineStr">
        <is>
          <t>Excesso de demandas, sobrecarga de trabalho e metas abusivas</t>
        </is>
      </c>
      <c r="H12" s="25" t="inlineStr">
        <is>
          <t>Desequilíbrio de pessoal, acúmulo de funções e cobrança inadequada</t>
        </is>
      </c>
      <c r="I12" s="25" t="inlineStr">
        <is>
          <t>Burnout, transtornos de ansiedade (CID F) e estresse crônico</t>
        </is>
      </c>
      <c r="J12" s="25" t="inlineStr">
        <is>
          <t>Nenhum controle ativo. Medidas apenas reativas individuais (médica).</t>
        </is>
      </c>
      <c r="K12" s="26" t="n">
        <v>3</v>
      </c>
      <c r="L12" s="26" t="n">
        <v>4</v>
      </c>
      <c r="M12" s="27">
        <f>K12*L12</f>
        <v/>
      </c>
      <c r="N12" s="29" t="inlineStr">
        <is>
          <t>Alto</t>
        </is>
      </c>
    </row>
    <row r="13">
      <c r="A13" s="24" t="inlineStr">
        <is>
          <t>R-09</t>
        </is>
      </c>
      <c r="B13" s="25" t="inlineStr">
        <is>
          <t>Operação Geral</t>
        </is>
      </c>
      <c r="C13" s="25" t="inlineStr">
        <is>
          <t>GHE-06 Liderança</t>
        </is>
      </c>
      <c r="D13" s="25" t="inlineStr">
        <is>
          <t>Gestores e Encarregados</t>
        </is>
      </c>
      <c r="E13" s="24" t="n">
        <v>8</v>
      </c>
      <c r="F13" s="30" t="inlineStr">
        <is>
          <t>Psicossocial (Placeholder)</t>
        </is>
      </c>
      <c r="G13" s="25" t="inlineStr">
        <is>
          <t>Baixa clareza de papéis e liderança autocrática (comunic. violenta)</t>
        </is>
      </c>
      <c r="H13" s="25" t="inlineStr">
        <is>
          <t>Falta de treinamento de soft skills e ausência de feedbacks estruturados</t>
        </is>
      </c>
      <c r="I13" s="25" t="inlineStr">
        <is>
          <t>Ansiedade generalizada, conflitos internos frequentes e turnover elevado</t>
        </is>
      </c>
      <c r="J13" s="25" t="inlineStr">
        <is>
          <t>Nenhum controle. Total ausência de canais de diálogo ou ouvidoria.</t>
        </is>
      </c>
      <c r="K13" s="26" t="n">
        <v>3</v>
      </c>
      <c r="L13" s="26" t="n">
        <v>4</v>
      </c>
      <c r="M13" s="27">
        <f>K13*L13</f>
        <v/>
      </c>
      <c r="N13" s="29" t="inlineStr">
        <is>
          <t>Alto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1" customWidth="1" min="1" max="1"/>
    <col width="28" customWidth="1" min="2" max="2"/>
    <col width="56" customWidth="1" min="3" max="3"/>
    <col width="28" customWidth="1" min="4" max="4"/>
    <col width="28" customWidth="1" min="5" max="5"/>
    <col width="38" customWidth="1" min="6" max="6"/>
    <col width="35" customWidth="1" min="7" max="7"/>
    <col width="25" customWidth="1" min="8" max="8"/>
    <col width="30" customWidth="1" min="9" max="9"/>
    <col width="25" customWidth="1" min="10" max="10"/>
    <col width="25" customWidth="1" min="11" max="11"/>
    <col width="18" customWidth="1" min="12" max="12"/>
  </cols>
  <sheetData>
    <row r="1">
      <c r="A1" s="1" t="inlineStr">
        <is>
          <t>PROGRAMA DE GERENCIAMENTO DE RISCOS (PGR) - PLANO DE AÇÃO 5W2H</t>
        </is>
      </c>
    </row>
    <row r="2">
      <c r="A2" s="2" t="inlineStr">
        <is>
          <t>Controle sistemático focado na eliminação das causas raízes de riscos psicossociais e ergonômicos.</t>
        </is>
      </c>
    </row>
    <row r="3"/>
    <row r="4">
      <c r="A4" s="23" t="inlineStr">
        <is>
          <t>Ref. Risco</t>
        </is>
      </c>
      <c r="B4" s="23" t="inlineStr">
        <is>
          <t>Dimensão / Fator</t>
        </is>
      </c>
      <c r="C4" s="23" t="inlineStr">
        <is>
          <t>Risco Mapeado (Score)</t>
        </is>
      </c>
      <c r="D4" s="23" t="inlineStr">
        <is>
          <t>O QUÊ? (Medida de Controle)</t>
        </is>
      </c>
      <c r="E4" s="23" t="inlineStr">
        <is>
          <t>POR QUÊ? (Justificativa / Causa)</t>
        </is>
      </c>
      <c r="F4" s="23" t="inlineStr">
        <is>
          <t>ONDE? (Setor Afetado)</t>
        </is>
      </c>
      <c r="G4" s="23" t="inlineStr">
        <is>
          <t>QUEM? (Responsável Nominado)</t>
        </is>
      </c>
      <c r="H4" s="23" t="inlineStr">
        <is>
          <t>QUANDO? (Prazo Limite)</t>
        </is>
      </c>
      <c r="I4" s="23" t="inlineStr">
        <is>
          <t>COMO? (Plano de Execução)</t>
        </is>
      </c>
      <c r="J4" s="23" t="inlineStr">
        <is>
          <t>QUANTO? (Orçamento R$)</t>
        </is>
      </c>
      <c r="K4" s="23" t="inlineStr">
        <is>
          <t>Indicador de Eficácia</t>
        </is>
      </c>
      <c r="L4" s="23" t="inlineStr">
        <is>
          <t>Status do Ciclo</t>
        </is>
      </c>
    </row>
    <row r="5">
      <c r="A5" s="24" t="inlineStr">
        <is>
          <t>R-06</t>
        </is>
      </c>
      <c r="B5" s="31" t="inlineStr">
        <is>
          <t>Acidente de Trabalho</t>
        </is>
      </c>
      <c r="C5" s="31" t="inlineStr">
        <is>
          <t>Choque elétrico em média/baixa tensão</t>
        </is>
      </c>
      <c r="D5" s="31" t="inlineStr">
        <is>
          <t>Desenvolver ordens de serviço e procedimentos formais de bloqueio de energia (LOTO)</t>
        </is>
      </c>
      <c r="E5" s="31" t="inlineStr">
        <is>
          <t>Eliminar risco de energização acidental durante a atividade de campo</t>
        </is>
      </c>
      <c r="F5" s="31" t="inlineStr">
        <is>
          <t>Secretaria de Urbanismo - Elétrica</t>
        </is>
      </c>
      <c r="G5" s="32" t="inlineStr">
        <is>
          <t>Carlos Mendes (Eng. Eletricista)</t>
        </is>
      </c>
      <c r="H5" s="26" t="inlineStr">
        <is>
          <t>2026-10-31</t>
        </is>
      </c>
      <c r="I5" s="31" t="inlineStr">
        <is>
          <t>Elaborar manual impresso, realizar testes práticos e treinar 100% da equipe</t>
        </is>
      </c>
      <c r="J5" s="33" t="n">
        <v>1200</v>
      </c>
      <c r="K5" s="31" t="inlineStr">
        <is>
          <t>Auditoria de campo (meta: 100% conformidade)</t>
        </is>
      </c>
      <c r="L5" s="28" t="inlineStr">
        <is>
          <t>Em andamento</t>
        </is>
      </c>
    </row>
    <row r="6">
      <c r="A6" s="24" t="inlineStr">
        <is>
          <t>R-07</t>
        </is>
      </c>
      <c r="B6" s="31" t="inlineStr">
        <is>
          <t>Acidente de Trabalho</t>
        </is>
      </c>
      <c r="C6" s="31" t="inlineStr">
        <is>
          <t>Queda de altura em postes acima de 2 metros</t>
        </is>
      </c>
      <c r="D6" s="31" t="inlineStr">
        <is>
          <t>Implementar Análise Preliminar de Risco (APR) e Permissão de Trabalho (PT) diária</t>
        </is>
      </c>
      <c r="E6" s="31" t="inlineStr">
        <is>
          <t>Garantir a verificação dos pontos de ancoragem antes do início de qualquer escalada</t>
        </is>
      </c>
      <c r="F6" s="31" t="inlineStr">
        <is>
          <t>Secretaria de Urbanismo - Elétrica</t>
        </is>
      </c>
      <c r="G6" s="32" t="inlineStr">
        <is>
          <t>Carlos Mendes (Eng. Eletricista)</t>
        </is>
      </c>
      <c r="H6" s="26" t="inlineStr">
        <is>
          <t>2026-09-30</t>
        </is>
      </c>
      <c r="I6" s="31" t="inlineStr">
        <is>
          <t>Criar blocos de APR, implantar rotina de liberação obrigatória pelos gestores</t>
        </is>
      </c>
      <c r="J6" s="33" t="n">
        <v>500</v>
      </c>
      <c r="K6" s="31" t="inlineStr">
        <is>
          <t>Nº de APRs abertas / total de serviços (meta: 100%)</t>
        </is>
      </c>
      <c r="L6" s="28" t="inlineStr">
        <is>
          <t>Em andamento</t>
        </is>
      </c>
    </row>
    <row r="7">
      <c r="A7" s="24" t="inlineStr">
        <is>
          <t>R-08</t>
        </is>
      </c>
      <c r="B7" s="31" t="inlineStr">
        <is>
          <t>Carga e Ritmo de Trabalho</t>
        </is>
      </c>
      <c r="C7" s="31" t="inlineStr">
        <is>
          <t>Ansiedade, Burnout e afastamentos CID F (Score 75)</t>
        </is>
      </c>
      <c r="D7" s="31" t="inlineStr">
        <is>
          <t>Revisar as metas e redistribuir a carga horária de tarefas administrativas excedentes</t>
        </is>
      </c>
      <c r="E7" s="31" t="inlineStr">
        <is>
          <t>Atacar a causa raiz da sobrecarga ergonômica cognitiva, reequilibrando as demandas</t>
        </is>
      </c>
      <c r="F7" s="31" t="inlineStr">
        <is>
          <t>Administrativo Geral (Turnos A e B)</t>
        </is>
      </c>
      <c r="G7" s="32" t="inlineStr">
        <is>
          <t>Ana Souza (Diretora de RH)</t>
        </is>
      </c>
      <c r="H7" s="26" t="inlineStr">
        <is>
          <t>2026-12-15</t>
        </is>
      </c>
      <c r="I7" s="31" t="inlineStr">
        <is>
          <t>Reuniões semanais para dimensionamento, contratação de 2 auxiliares temporários</t>
        </is>
      </c>
      <c r="J7" s="33" t="n">
        <v>8500</v>
      </c>
      <c r="K7" s="31" t="inlineStr">
        <is>
          <t>Reaplicação do COPSOQ II em 6 meses (meta: score &lt; 50)</t>
        </is>
      </c>
      <c r="L7" s="29" t="inlineStr">
        <is>
          <t>Não iniciado</t>
        </is>
      </c>
    </row>
    <row r="8">
      <c r="A8" s="24" t="inlineStr">
        <is>
          <t>R-09</t>
        </is>
      </c>
      <c r="B8" s="31" t="inlineStr">
        <is>
          <t>Justiça e Liderança</t>
        </is>
      </c>
      <c r="C8" s="31" t="inlineStr">
        <is>
          <t>Turnover elevado por liderança autocrática (Score 68)</t>
        </is>
      </c>
      <c r="D8" s="31" t="inlineStr">
        <is>
          <t>Capacitação dos 8 gestores em Comunicação Não-Violenta e mentoria individualizada</t>
        </is>
      </c>
      <c r="E8" s="31" t="inlineStr">
        <is>
          <t>Desenvolver soft skills e implantar reuniões de feedback estruturadas (1:1)</t>
        </is>
      </c>
      <c r="F8" s="31" t="inlineStr">
        <is>
          <t>Toda a empresa (Transversal)</t>
        </is>
      </c>
      <c r="G8" s="32" t="inlineStr">
        <is>
          <t>Ana Souza (Diretora de RH)</t>
        </is>
      </c>
      <c r="H8" s="26" t="inlineStr">
        <is>
          <t>2026-11-30</t>
        </is>
      </c>
      <c r="I8" s="31" t="inlineStr">
        <is>
          <t>Contratar consultoria externa para workshop intensivo e aplicar 4 sessões de mentoria</t>
        </is>
      </c>
      <c r="J8" s="33" t="n">
        <v>6000</v>
      </c>
      <c r="K8" s="31" t="inlineStr">
        <is>
          <t>Pesquisa de pulso trimestral sobre clima (meta: +30% de melhoria)</t>
        </is>
      </c>
      <c r="L8" s="29" t="inlineStr">
        <is>
          <t>Não iniciado</t>
        </is>
      </c>
    </row>
    <row r="9">
      <c r="A9" s="24" t="inlineStr">
        <is>
          <t>R-01</t>
        </is>
      </c>
      <c r="B9" s="31" t="inlineStr">
        <is>
          <t>Biológico</t>
        </is>
      </c>
      <c r="C9" s="31" t="inlineStr">
        <is>
          <t>Visitas periódicas de campo expostas a patógenos</t>
        </is>
      </c>
      <c r="D9" s="31" t="inlineStr">
        <is>
          <t>Distribuição sistemática e fiscalização do uso correto de EPIs e higienização</t>
        </is>
      </c>
      <c r="E9" s="31" t="inlineStr">
        <is>
          <t>Minimizar o risco biológico residual nas visitas comunitárias</t>
        </is>
      </c>
      <c r="F9" s="31" t="inlineStr">
        <is>
          <t>Secretaria de Saúde - ACS</t>
        </is>
      </c>
      <c r="G9" s="32" t="inlineStr">
        <is>
          <t>Dra. Verônica (Med. Trabalho)</t>
        </is>
      </c>
      <c r="H9" s="26" t="inlineStr">
        <is>
          <t>2026-09-15</t>
        </is>
      </c>
      <c r="I9" s="31" t="inlineStr">
        <is>
          <t>Atualização da ficha de EPI, DDS de 5 min focado em riscos biológicos</t>
        </is>
      </c>
      <c r="J9" s="33" t="n">
        <v>300</v>
      </c>
      <c r="K9" s="31" t="inlineStr">
        <is>
          <t>Ficha de entrega assinada e inspeção visual em campo</t>
        </is>
      </c>
      <c r="L9" s="27" t="inlineStr">
        <is>
          <t>Concluído</t>
        </is>
      </c>
    </row>
  </sheetData>
  <dataValidations count="1">
    <dataValidation sqref="L5:L25" showDropDown="0" showInputMessage="0" showErrorMessage="0" allowBlank="1" type="list">
      <formula1>"Não iniciado,Em andamento,Concluído,Suspenso"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2026-09-08T11:25:06Z</dcterms:created>
  <dcterms:modified xmlns:dcterms="http://purl.org/dc/terms/" xmlns:xsi="http://www.w3.org/2001/XMLSchema-instance" xsi:type="dcterms:W3CDTF">2026-09-08T11:25:06Z</dcterms:modified>
</cp:coreProperties>
</file>